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od\00_LocalMod\Heaven Dream\WIP\"/>
    </mc:Choice>
  </mc:AlternateContent>
  <bookViews>
    <workbookView windowWidth="10845" windowHeight="9165" firstSheet="1"/>
  </bookViews>
  <sheets>
    <sheet name="普鲁士" sheetId="2" r:id="rId1"/>
    <sheet name="普鲁士国策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8BE45564F174476EB008DF96A41A0EA6" descr="Portrait_PLS_Friedrich_IV"/>
        <xdr:cNvPicPr/>
      </xdr:nvPicPr>
      <xdr:blipFill>
        <a:blip r:embed="rId1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0" name="ID_125BAE01ADED4FB19EAE7E7A165B5877" descr="Portrait_PLS_Gustav_Stresemann"/>
        <xdr:cNvPicPr/>
      </xdr:nvPicPr>
      <xdr:blipFill>
        <a:blip r:embed="rId2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4" name="ID_367A62F57815475880B8BD1E42EA3676" descr="Portrait_PLS_Otto_Braun"/>
        <xdr:cNvPicPr/>
      </xdr:nvPicPr>
      <xdr:blipFill>
        <a:blip r:embed="rId3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6" name="ID_FA210546E34D40228B9CCED858A584DA" descr="Portrait_PLS_Carl_Friedrich_Goerdeler"/>
        <xdr:cNvPicPr/>
      </xdr:nvPicPr>
      <xdr:blipFill>
        <a:blip r:embed="rId4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7" name="ID_2950560720CA4F6180160EFDB082B895" descr="Portrait_PLS_Kurt_von_Schleicher"/>
        <xdr:cNvPicPr/>
      </xdr:nvPicPr>
      <xdr:blipFill>
        <a:blip r:embed="rId5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3" name="ID_3E317931036D4185966B0D9BE06EA9FF" descr="Portrait_PLS_Hans_Luther"/>
        <xdr:cNvPicPr/>
      </xdr:nvPicPr>
      <xdr:blipFill>
        <a:blip r:embed="rId6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<sst xmlns="http://schemas.openxmlformats.org/spreadsheetml/2006/main" count="154" uniqueCount="40">
  <si>
    <t>普鲁士王国</t>
  </si>
  <si>
    <t>国王</t>
  </si>
  <si>
    <t>首相</t>
  </si>
  <si>
    <t>腓特烈三世</t>
  </si>
  <si>
    <t>古斯塔夫·施特雷泽曼</t>
  </si>
  <si>
    <t>↓</t>
  </si>
  <si>
    <t>施特雷泽曼病逝</t>
  </si>
  <si>
    <t>继任决定神罗改革的命运</t>
  </si>
  <si>
    <t>——</t>
  </si>
  <si>
    <t>国王任命SPD首相</t>
  </si>
  <si>
    <t>国王任命DVP首相</t>
  </si>
  <si>
    <t>国王任命DZP首相</t>
  </si>
  <si>
    <t>施莱歇尔弹劾成功</t>
  </si>
  <si>
    <t>奥托·布劳恩</t>
  </si>
  <si>
    <t>汉斯·路德</t>
  </si>
  <si>
    <t>卡尔·格德勒</t>
  </si>
  <si>
    <t>库尔特·冯·施莱歇尔</t>
  </si>
  <si>
    <t>前路漫漫……</t>
  </si>
  <si>
    <t>（施特雷泽曼病逝）</t>
  </si>
  <si>
    <t>……终有竟时</t>
  </si>
  <si>
    <t>事件“在柏林的最后一日”</t>
  </si>
  <si>
    <t>将军</t>
  </si>
  <si>
    <t>&lt;-!-&gt;</t>
  </si>
  <si>
    <t>最后机会</t>
  </si>
  <si>
    <t>一线生机</t>
  </si>
  <si>
    <t>广撒情报网</t>
  </si>
  <si>
    <t>争取皇帝支持</t>
  </si>
  <si>
    <t>民族浪潮</t>
  </si>
  <si>
    <t>阴影之触</t>
  </si>
  <si>
    <t>承诺安全保障</t>
  </si>
  <si>
    <t>和平外交</t>
  </si>
  <si>
    <t>潜伏的支持者们</t>
  </si>
  <si>
    <t>抛出橄榄枝</t>
  </si>
  <si>
    <t>统一的帝国铁路网络</t>
  </si>
  <si>
    <t>巩固基本盘</t>
  </si>
  <si>
    <t>重新商讨各邦国的地位</t>
  </si>
  <si>
    <t>弃车保帅</t>
  </si>
  <si>
    <t>工业支援</t>
  </si>
  <si>
    <t>南德意志经济合作同盟</t>
  </si>
  <si>
    <t>沉默的议案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</si>
</sst>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0"/>
      <name val="宋体"/>
      <charset val="134"/>
      <scheme val="minor"/>
    </font>
    <font>
      <sz val="12"/>
      <color theme="9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V37"/>
  <sheetViews>
    <sheetView tabSelected="1" zoomScale="70" zoomScaleNormal="70" topLeftCell="E7" workbookViewId="0">
      <selection activeCell="F19" sqref="F19"/>
    </sheetView>
  </sheetViews>
  <sheetFormatPr defaultColWidth="22.775" defaultRowHeight="14.25"/>
  <cols>
    <col min="1" max="16384" width="22.775" style="2" customWidth="1"/>
  </cols>
  <sheetData>
    <row r="7" spans="5:22">
      <c r="G7" s="3" t="s">
        <v>0</v>
      </c>
      <c r="H7" s="3"/>
    </row>
    <row r="8" spans="5:22">
      <c r="G8" s="4" t="s">
        <v>1</v>
      </c>
      <c r="H8" s="4" t="s">
        <v>2</v>
      </c>
    </row>
    <row r="9" ht="165" spans="5:22">
      <c r="G9" s="2" t="str">
        <f>_xlfn.DISPIMG("ID_8BE45564F174476EB008DF96A41A0EA6",1)</f>
        <v>=DISPIMG("ID_8BE45564F174476EB008DF96A41A0EA6",1)</v>
      </c>
      <c r="H9" s="2" t="str">
        <f>_xlfn.DISPIMG("ID_125BAE01ADED4FB19EAE7E7A165B5877",1)</f>
        <v>=DISPIMG("ID_125BAE01ADED4FB19EAE7E7A165B5877",1)</v>
      </c>
    </row>
    <row r="10" spans="5:22">
      <c r="G10" s="5" t="s">
        <v>3</v>
      </c>
      <c r="H10" s="5" t="s">
        <v>4</v>
      </c>
    </row>
    <row r="11" spans="5:22">
      <c r="G11" s="2" t="s">
        <v>5</v>
      </c>
    </row>
    <row r="12" spans="5:22">
      <c r="G12" s="2" t="s">
        <v>5</v>
      </c>
      <c r="H12" s="6" t="s">
        <v>6</v>
      </c>
      <c r="I12" s="6" t="s">
        <v>7</v>
      </c>
    </row>
    <row r="13" spans="5:22">
      <c r="E13" s="2" t="s">
        <v>8</v>
      </c>
      <c r="F13" s="2" t="s">
        <v>8</v>
      </c>
      <c r="G13" s="2" t="s">
        <v>8</v>
      </c>
      <c r="H13" s="2" t="s">
        <v>8</v>
      </c>
      <c r="I13" s="2" t="s">
        <v>8</v>
      </c>
      <c r="J13" s="2" t="s">
        <v>8</v>
      </c>
      <c r="K13" s="2" t="s">
        <v>8</v>
      </c>
      <c r="L13" s="2" t="s">
        <v>8</v>
      </c>
      <c r="M13" s="2" t="s">
        <v>8</v>
      </c>
      <c r="N13" s="2" t="s">
        <v>8</v>
      </c>
      <c r="O13" s="2" t="s">
        <v>8</v>
      </c>
      <c r="P13" s="2" t="s">
        <v>8</v>
      </c>
      <c r="Q13" s="2" t="s">
        <v>8</v>
      </c>
      <c r="R13" s="2" t="s">
        <v>8</v>
      </c>
      <c r="S13" s="2" t="s">
        <v>8</v>
      </c>
      <c r="T13"/>
      <c r="U13"/>
      <c r="V13"/>
    </row>
    <row r="14" spans="5:22">
      <c r="E14" s="2" t="s">
        <v>5</v>
      </c>
      <c r="I14" s="2" t="s">
        <v>5</v>
      </c>
      <c r="M14" s="2" t="s">
        <v>5</v>
      </c>
      <c r="Q14" s="2" t="s">
        <v>5</v>
      </c>
      <c r="T14"/>
      <c r="U14"/>
      <c r="V14"/>
    </row>
    <row r="15" spans="5:22">
      <c r="E15" s="2" t="s">
        <v>5</v>
      </c>
      <c r="F15" s="6" t="s">
        <v>9</v>
      </c>
      <c r="I15" s="2" t="s">
        <v>5</v>
      </c>
      <c r="J15" s="6" t="s">
        <v>10</v>
      </c>
      <c r="M15" s="2" t="s">
        <v>5</v>
      </c>
      <c r="N15" s="6" t="s">
        <v>11</v>
      </c>
      <c r="Q15" s="2" t="s">
        <v>5</v>
      </c>
      <c r="R15" s="6" t="s">
        <v>12</v>
      </c>
      <c r="T15"/>
      <c r="U15"/>
      <c r="V15"/>
    </row>
    <row r="16" spans="5:22">
      <c r="E16" s="3" t="s">
        <v>0</v>
      </c>
      <c r="F16" s="3"/>
      <c r="I16" s="3" t="s">
        <v>0</v>
      </c>
      <c r="J16" s="3"/>
      <c r="M16" s="3" t="s">
        <v>0</v>
      </c>
      <c r="N16" s="3"/>
      <c r="Q16" s="3" t="s">
        <v>0</v>
      </c>
      <c r="R16" s="3"/>
      <c r="T16"/>
      <c r="U16"/>
      <c r="V16"/>
    </row>
    <row r="17" spans="1:22">
      <c r="E17" s="4" t="s">
        <v>1</v>
      </c>
      <c r="F17" s="4" t="s">
        <v>2</v>
      </c>
      <c r="I17" s="4" t="s">
        <v>1</v>
      </c>
      <c r="J17" s="4" t="s">
        <v>2</v>
      </c>
      <c r="M17" s="4" t="s">
        <v>1</v>
      </c>
      <c r="N17" s="4" t="s">
        <v>2</v>
      </c>
      <c r="Q17" s="4" t="s">
        <v>1</v>
      </c>
      <c r="R17" s="4" t="s">
        <v>2</v>
      </c>
      <c r="T17"/>
      <c r="U17"/>
      <c r="V17"/>
    </row>
    <row r="18" ht="165" customHeight="1" spans="1:22">
      <c r="E18" s="2" t="str">
        <f>_xlfn.DISPIMG("ID_8BE45564F174476EB008DF96A41A0EA6",1)</f>
        <v>=DISPIMG("ID_8BE45564F174476EB008DF96A41A0EA6",1)</v>
      </c>
      <c r="F18" s="2" t="str">
        <f>_xlfn.DISPIMG("ID_367A62F57815475880B8BD1E42EA3676",1)</f>
        <v>=DISPIMG("ID_367A62F57815475880B8BD1E42EA3676",1)</v>
      </c>
      <c r="I18" s="2" t="str">
        <f>_xlfn.DISPIMG("ID_8BE45564F174476EB008DF96A41A0EA6",1)</f>
        <v>=DISPIMG("ID_8BE45564F174476EB008DF96A41A0EA6",1)</v>
      </c>
      <c r="J18" s="2" t="str">
        <f>_xlfn.DISPIMG("ID_3E317931036D4185966B0D9BE06EA9FF",1)</f>
        <v>=DISPIMG("ID_3E317931036D4185966B0D9BE06EA9FF",1)</v>
      </c>
      <c r="M18" s="2" t="str">
        <f>_xlfn.DISPIMG("ID_8BE45564F174476EB008DF96A41A0EA6",1)</f>
        <v>=DISPIMG("ID_8BE45564F174476EB008DF96A41A0EA6",1)</v>
      </c>
      <c r="N18" s="2" t="str">
        <f>_xlfn.DISPIMG("ID_FA210546E34D40228B9CCED858A584DA",1)</f>
        <v>=DISPIMG("ID_FA210546E34D40228B9CCED858A584DA",1)</v>
      </c>
      <c r="Q18" s="2" t="str">
        <f>_xlfn.DISPIMG("ID_8BE45564F174476EB008DF96A41A0EA6",1)</f>
        <v>=DISPIMG("ID_8BE45564F174476EB008DF96A41A0EA6",1)</v>
      </c>
      <c r="R18" s="2" t="str">
        <f>_xlfn.DISPIMG("ID_2950560720CA4F6180160EFDB082B895",1)</f>
        <v>=DISPIMG("ID_2950560720CA4F6180160EFDB082B895",1)</v>
      </c>
      <c r="T18"/>
      <c r="U18"/>
      <c r="V18"/>
    </row>
    <row r="19" spans="1:22">
      <c r="E19" s="5" t="s">
        <v>3</v>
      </c>
      <c r="F19" s="5" t="s">
        <v>13</v>
      </c>
      <c r="I19" s="5" t="s">
        <v>3</v>
      </c>
      <c r="J19" s="5" t="s">
        <v>14</v>
      </c>
      <c r="M19" s="5" t="s">
        <v>3</v>
      </c>
      <c r="N19" s="5" t="s">
        <v>15</v>
      </c>
      <c r="Q19" s="5" t="s">
        <v>3</v>
      </c>
      <c r="R19" s="5" t="s">
        <v>16</v>
      </c>
      <c r="T19"/>
      <c r="U19"/>
      <c r="V19"/>
    </row>
    <row r="20" spans="1:22">
      <c r="E20" s="2" t="s">
        <v>5</v>
      </c>
      <c r="I20" s="2" t="s">
        <v>5</v>
      </c>
      <c r="M20" s="2" t="s">
        <v>5</v>
      </c>
      <c r="Q20" s="2" t="s">
        <v>5</v>
      </c>
      <c r="T20"/>
      <c r="U20"/>
      <c r="V20"/>
    </row>
    <row r="21" spans="1:22">
      <c r="E21" s="2" t="s">
        <v>5</v>
      </c>
      <c r="I21" s="2" t="s">
        <v>5</v>
      </c>
      <c r="M21" s="2" t="s">
        <v>5</v>
      </c>
      <c r="Q21" s="2" t="s">
        <v>5</v>
      </c>
      <c r="T21"/>
      <c r="U21"/>
      <c r="V21"/>
    </row>
    <row r="22" spans="1: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T22"/>
      <c r="U22"/>
      <c r="V22"/>
    </row>
    <row r="23" spans="1:2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T23"/>
      <c r="U23"/>
      <c r="V23"/>
    </row>
    <row r="24" spans="1:2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T24"/>
      <c r="U24"/>
      <c r="V24"/>
    </row>
    <row r="25" spans="1:2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T25"/>
      <c r="U25"/>
      <c r="V25"/>
    </row>
    <row r="26" spans="1:2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T26"/>
      <c r="U26"/>
      <c r="V26"/>
    </row>
    <row r="27" ht="165" customHeight="1" spans="1:2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T27"/>
      <c r="U27"/>
      <c r="V27"/>
    </row>
    <row r="28" spans="1:2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T28"/>
      <c r="U28"/>
      <c r="V28"/>
    </row>
    <row r="29" spans="1:2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2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2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2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ht="165" customHeight="1" spans="1:18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</sheetData>
  <mergeCells count="5">
    <mergeCell ref="G7:H7"/>
    <mergeCell ref="E16:F16"/>
    <mergeCell ref="I16:J16"/>
    <mergeCell ref="M16:N16"/>
    <mergeCell ref="Q16:R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R15"/>
  <sheetViews>
    <sheetView topLeftCell="D1" workbookViewId="0">
      <selection activeCell="G20" sqref="G20"/>
    </sheetView>
  </sheetViews>
  <sheetFormatPr defaultColWidth="20.775" defaultRowHeight="13.5"/>
  <cols>
    <col min="1" max="16384" width="20.775" style="1" customWidth="1"/>
  </cols>
  <sheetData>
    <row r="3" spans="3:18">
      <c r="K3" s="1" t="s">
        <v>17</v>
      </c>
      <c r="L3" s="1" t="s">
        <v>18</v>
      </c>
      <c r="M3" s="1" t="s">
        <v>19</v>
      </c>
    </row>
    <row r="4" spans="3:18">
      <c r="K4" s="1" t="s">
        <v>5</v>
      </c>
      <c r="L4" s="1" t="s">
        <v>20</v>
      </c>
    </row>
    <row r="5" spans="3:18">
      <c r="H5" s="1" t="s">
        <v>8</v>
      </c>
      <c r="I5" s="1" t="s">
        <v>8</v>
      </c>
      <c r="J5" s="1" t="s">
        <v>8</v>
      </c>
      <c r="K5" s="1" t="s">
        <v>8</v>
      </c>
      <c r="L5" s="1" t="s">
        <v>8</v>
      </c>
      <c r="M5" s="1" t="s">
        <v>8</v>
      </c>
      <c r="N5" s="1" t="s">
        <v>8</v>
      </c>
    </row>
    <row r="6" spans="3:18">
      <c r="H6" s="1" t="s">
        <v>5</v>
      </c>
      <c r="J6" s="1" t="s">
        <v>5</v>
      </c>
      <c r="L6" s="1" t="s">
        <v>5</v>
      </c>
      <c r="N6" s="1" t="s">
        <v>5</v>
      </c>
    </row>
    <row r="7" spans="3:18">
      <c r="H7" s="1" t="s">
        <v>2</v>
      </c>
      <c r="J7" s="1" t="s">
        <v>21</v>
      </c>
      <c r="K7" s="1" t="s">
        <v>22</v>
      </c>
      <c r="L7" s="1" t="s">
        <v>23</v>
      </c>
      <c r="N7" s="1" t="s">
        <v>24</v>
      </c>
    </row>
    <row r="8" spans="3:18">
      <c r="H8" s="1" t="s">
        <v>5</v>
      </c>
      <c r="N8" s="1" t="s">
        <v>5</v>
      </c>
    </row>
    <row r="9" spans="3:18">
      <c r="D9" s="1" t="s">
        <v>8</v>
      </c>
      <c r="E9" s="1" t="s">
        <v>8</v>
      </c>
      <c r="F9" s="1" t="s">
        <v>8</v>
      </c>
      <c r="G9" s="1" t="s">
        <v>8</v>
      </c>
      <c r="H9" s="1" t="s">
        <v>8</v>
      </c>
      <c r="I9" s="1" t="s">
        <v>8</v>
      </c>
      <c r="J9" s="1" t="s">
        <v>8</v>
      </c>
      <c r="K9" s="1" t="s">
        <v>8</v>
      </c>
      <c r="L9" s="1" t="s">
        <v>8</v>
      </c>
      <c r="M9" s="1" t="s">
        <v>8</v>
      </c>
      <c r="N9" s="1" t="s">
        <v>8</v>
      </c>
      <c r="O9" s="1" t="s">
        <v>8</v>
      </c>
      <c r="P9" s="1" t="s">
        <v>8</v>
      </c>
      <c r="Q9" s="1" t="s">
        <v>8</v>
      </c>
      <c r="R9" s="1" t="s">
        <v>8</v>
      </c>
    </row>
    <row r="10" spans="3:18">
      <c r="D10" s="1" t="s">
        <v>5</v>
      </c>
      <c r="F10" s="1" t="s">
        <v>5</v>
      </c>
      <c r="I10" s="1" t="s">
        <v>5</v>
      </c>
      <c r="J10" s="1" t="s">
        <v>5</v>
      </c>
      <c r="L10" s="1" t="s">
        <v>5</v>
      </c>
      <c r="N10" s="1" t="s">
        <v>5</v>
      </c>
      <c r="P10" s="1" t="s">
        <v>5</v>
      </c>
      <c r="R10" s="1" t="s">
        <v>5</v>
      </c>
    </row>
    <row r="11" spans="3:18">
      <c r="D11" s="1" t="s">
        <v>25</v>
      </c>
      <c r="F11" s="1" t="s">
        <v>26</v>
      </c>
      <c r="I11" s="1" t="s">
        <v>5</v>
      </c>
      <c r="J11" s="1" t="s">
        <v>27</v>
      </c>
      <c r="L11" s="1" t="s">
        <v>28</v>
      </c>
      <c r="N11" s="1" t="s">
        <v>29</v>
      </c>
      <c r="P11" s="1" t="s">
        <v>30</v>
      </c>
      <c r="R11" s="1" t="s">
        <v>31</v>
      </c>
    </row>
    <row r="12" spans="3:18">
      <c r="D12" s="1" t="s">
        <v>5</v>
      </c>
      <c r="F12" s="1" t="s">
        <v>5</v>
      </c>
      <c r="I12" s="1" t="s">
        <v>5</v>
      </c>
      <c r="J12" s="1" t="s">
        <v>5</v>
      </c>
      <c r="L12" s="1" t="s">
        <v>5</v>
      </c>
      <c r="N12" s="1" t="s">
        <v>5</v>
      </c>
      <c r="P12" s="1" t="s">
        <v>5</v>
      </c>
      <c r="R12" s="1" t="s">
        <v>5</v>
      </c>
    </row>
    <row r="13" spans="3:18">
      <c r="C13" s="1" t="s">
        <v>8</v>
      </c>
      <c r="D13" s="1" t="s">
        <v>8</v>
      </c>
      <c r="E13" s="1" t="s">
        <v>8</v>
      </c>
      <c r="F13" s="1" t="s">
        <v>8</v>
      </c>
      <c r="G13" s="1" t="s">
        <v>8</v>
      </c>
      <c r="I13" s="1" t="s">
        <v>5</v>
      </c>
      <c r="J13" s="1" t="s">
        <v>8</v>
      </c>
      <c r="K13" s="1" t="s">
        <v>8</v>
      </c>
      <c r="L13" s="1" t="s">
        <v>8</v>
      </c>
      <c r="N13" s="1" t="s">
        <v>5</v>
      </c>
      <c r="P13" s="1" t="s">
        <v>5</v>
      </c>
      <c r="R13" s="1" t="s">
        <v>5</v>
      </c>
    </row>
    <row r="14" spans="3:18">
      <c r="C14" s="1" t="s">
        <v>5</v>
      </c>
      <c r="E14" s="1" t="s">
        <v>5</v>
      </c>
      <c r="G14" s="1" t="s">
        <v>5</v>
      </c>
      <c r="I14" s="1" t="s">
        <v>5</v>
      </c>
      <c r="K14" s="1" t="s">
        <v>5</v>
      </c>
      <c r="N14" s="1" t="s">
        <v>5</v>
      </c>
      <c r="P14" s="1" t="s">
        <v>5</v>
      </c>
      <c r="R14" s="1" t="s">
        <v>5</v>
      </c>
    </row>
    <row r="15" spans="3:18">
      <c r="C15" s="1" t="s">
        <v>32</v>
      </c>
      <c r="E15" s="1" t="s">
        <v>33</v>
      </c>
      <c r="G15" s="1" t="s">
        <v>34</v>
      </c>
      <c r="I15" s="1" t="s">
        <v>35</v>
      </c>
      <c r="K15" s="1" t="s">
        <v>36</v>
      </c>
      <c r="N15" s="1" t="s">
        <v>37</v>
      </c>
      <c r="P15" s="1" t="s">
        <v>38</v>
      </c>
      <c r="R15" s="1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普鲁士</vt:lpstr>
      <vt:lpstr>普鲁士国策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？？？</cp:lastModifiedBy>
  <dcterms:created xsi:type="dcterms:W3CDTF">2025-07-06T09:45:00Z</dcterms:created>
  <dcterms:modified xsi:type="dcterms:W3CDTF">2026-08-16T18:28:49Z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2998C622F9F14FB39D00F68A7399D03D_13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